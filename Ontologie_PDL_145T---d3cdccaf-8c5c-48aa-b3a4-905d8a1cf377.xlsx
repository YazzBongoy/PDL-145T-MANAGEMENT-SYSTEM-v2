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Attribut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Instances" sheetId="4" state="visible" r:id="rId4"/>
    <sheet xmlns:r="http://schemas.openxmlformats.org/officeDocument/2006/relationships" name="Lots_Ouvrages" sheetId="5" state="visible" r:id="rId5"/>
    <sheet xmlns:r="http://schemas.openxmlformats.org/officeDocument/2006/relationships" name="Regles_Contractuelle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Resume_Program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>
        <color rgb="007F7F7F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Sources consolidées à partir des trois contrats du PDL-145T : turn1file0, turn1file1, turn1file2. Références visibles dans la feuille Sources.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Sources consolidées à partir des trois contrats du PDL-145T : turn1file0, turn1file1, turn1file2. Références visibles dans la feuille Sources.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Sources consolidées à partir des trois contrats du PDL-145T : turn1file0, turn1file1, turn1file2. Références visibles dans la feuille Sources.</t>
      </text>
    </comment>
  </commentList>
</comments>
</file>

<file path=xl/tables/table1.xml><?xml version="1.0" encoding="utf-8"?>
<table xmlns="http://schemas.openxmlformats.org/spreadsheetml/2006/main" id="1" name="tblClasses" displayName="tblClasses" ref="A1:E24" headerRowCount="1">
  <autoFilter ref="A1:E24"/>
  <tableColumns count="5">
    <tableColumn id="1" name="ID_Classe"/>
    <tableColumn id="2" name="Classe"/>
    <tableColumn id="3" name="Sous_classe_de"/>
    <tableColumn id="4" name="Description"/>
    <tableColumn id="5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ttributs" displayName="tblAttributs" ref="A1:E21" headerRowCount="1">
  <autoFilter ref="A1:E21"/>
  <tableColumns count="5">
    <tableColumn id="1" name="ID_Attribut"/>
    <tableColumn id="2" name="Classe"/>
    <tableColumn id="3" name="Attribut"/>
    <tableColumn id="4" name="Type"/>
    <tableColumn id="5" name="Exe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elations" displayName="tblRelations" ref="A1:E13" headerRowCount="1">
  <autoFilter ref="A1:E13"/>
  <tableColumns count="5">
    <tableColumn id="1" name="ID_Relation"/>
    <tableColumn id="2" name="Sujet"/>
    <tableColumn id="3" name="Relation"/>
    <tableColumn id="4" name="Objet"/>
    <tableColumn id="5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stances" displayName="tblInstances" ref="A1:E13" headerRowCount="1">
  <autoFilter ref="A1:E13"/>
  <tableColumns count="5">
    <tableColumn id="1" name="ID_Instance"/>
    <tableColumn id="2" name="Classe"/>
    <tableColumn id="3" name="Nom_Instance"/>
    <tableColumn id="4" name="Attribut_cle"/>
    <tableColumn id="5" name="Val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otsOuvrages" displayName="tblLotsOuvrages" ref="A1:G5" headerRowCount="1">
  <autoFilter ref="A1:G5"/>
  <tableColumns count="7">
    <tableColumn id="1" name="Lot"/>
    <tableColumn id="2" name="Territoire"/>
    <tableColumn id="3" name="Province"/>
    <tableColumn id="4" name="Nb_Ecoles"/>
    <tableColumn id="5" name="Nb_Centres_Sante"/>
    <tableColumn id="6" name="Nb_Batiments_Administratifs"/>
    <tableColumn id="7" name="Montant_USD_TTC_Hors_TV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egles" displayName="tblRegles" ref="A1:C13" headerRowCount="1">
  <autoFilter ref="A1:C13"/>
  <tableColumns count="3">
    <tableColumn id="1" name="Regle"/>
    <tableColumn id="2" name="Valeur"/>
    <tableColumn id="3" name="Porte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ources" displayName="tblSources" ref="A1:C4" headerRowCount="1">
  <autoFilter ref="A1:C4"/>
  <tableColumns count="3">
    <tableColumn id="1" name="Fichier"/>
    <tableColumn id="2" name="Référenc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42" customWidth="1" min="4" max="4"/>
    <col width="22" customWidth="1" min="5" max="5"/>
  </cols>
  <sheetData>
    <row r="1" ht="22" customHeight="1">
      <c r="A1" s="1" t="inlineStr">
        <is>
          <t>ID_Classe</t>
        </is>
      </c>
      <c r="B1" s="1" t="inlineStr">
        <is>
          <t>Classe</t>
        </is>
      </c>
      <c r="C1" s="1" t="inlineStr">
        <is>
          <t>Sous_classe_de</t>
        </is>
      </c>
      <c r="D1" s="1" t="inlineStr">
        <is>
          <t>Description</t>
        </is>
      </c>
      <c r="E1" s="1" t="inlineStr">
        <is>
          <t>Source</t>
        </is>
      </c>
    </row>
    <row r="2">
      <c r="A2" s="2" t="inlineStr">
        <is>
          <t>C1</t>
        </is>
      </c>
      <c r="B2" s="2" t="inlineStr">
        <is>
          <t>Programme</t>
        </is>
      </c>
      <c r="C2" s="2" t="inlineStr"/>
      <c r="D2" s="2" t="inlineStr">
        <is>
          <t>Programme public de développement local</t>
        </is>
      </c>
      <c r="E2" s="2" t="inlineStr">
        <is>
          <t>Contrats PDL-145T</t>
        </is>
      </c>
    </row>
    <row r="3">
      <c r="A3" s="2" t="inlineStr">
        <is>
          <t>C2</t>
        </is>
      </c>
      <c r="B3" s="2" t="inlineStr">
        <is>
          <t>Acteur</t>
        </is>
      </c>
      <c r="C3" s="2" t="inlineStr"/>
      <c r="D3" s="2" t="inlineStr">
        <is>
          <t>Entité intervenant dans le programme</t>
        </is>
      </c>
      <c r="E3" s="2" t="inlineStr">
        <is>
          <t>Contrats PDL-145T</t>
        </is>
      </c>
    </row>
    <row r="4">
      <c r="A4" s="2" t="inlineStr">
        <is>
          <t>C3</t>
        </is>
      </c>
      <c r="B4" s="2" t="inlineStr">
        <is>
          <t>AutoriteContractante</t>
        </is>
      </c>
      <c r="C4" s="2" t="inlineStr">
        <is>
          <t>Acteur</t>
        </is>
      </c>
      <c r="D4" s="2" t="inlineStr">
        <is>
          <t>Entité qui passe le marché</t>
        </is>
      </c>
      <c r="E4" s="2" t="inlineStr">
        <is>
          <t>Contrats PDL-145T</t>
        </is>
      </c>
    </row>
    <row r="5">
      <c r="A5" s="2" t="inlineStr">
        <is>
          <t>C4</t>
        </is>
      </c>
      <c r="B5" s="2" t="inlineStr">
        <is>
          <t>GroupementEntreprise</t>
        </is>
      </c>
      <c r="C5" s="2" t="inlineStr">
        <is>
          <t>Acteur</t>
        </is>
      </c>
      <c r="D5" s="2" t="inlineStr">
        <is>
          <t>Groupement titulaire du marché</t>
        </is>
      </c>
      <c r="E5" s="2" t="inlineStr">
        <is>
          <t>Contrats PDL-145T</t>
        </is>
      </c>
    </row>
    <row r="6">
      <c r="A6" s="2" t="inlineStr">
        <is>
          <t>C5</t>
        </is>
      </c>
      <c r="B6" s="2" t="inlineStr">
        <is>
          <t>Entreprise</t>
        </is>
      </c>
      <c r="C6" s="2" t="inlineStr">
        <is>
          <t>Acteur</t>
        </is>
      </c>
      <c r="D6" s="2" t="inlineStr">
        <is>
          <t>Membre du groupement</t>
        </is>
      </c>
      <c r="E6" s="2" t="inlineStr">
        <is>
          <t>Contrats PDL-145T</t>
        </is>
      </c>
    </row>
    <row r="7">
      <c r="A7" s="2" t="inlineStr">
        <is>
          <t>C6</t>
        </is>
      </c>
      <c r="B7" s="2" t="inlineStr">
        <is>
          <t>OrganeRegulation</t>
        </is>
      </c>
      <c r="C7" s="2" t="inlineStr">
        <is>
          <t>Acteur</t>
        </is>
      </c>
      <c r="D7" s="2" t="inlineStr">
        <is>
          <t>Organe de régulation des marchés</t>
        </is>
      </c>
      <c r="E7" s="2" t="inlineStr">
        <is>
          <t>Contrats PDL-145T</t>
        </is>
      </c>
    </row>
    <row r="8">
      <c r="A8" s="2" t="inlineStr">
        <is>
          <t>C7</t>
        </is>
      </c>
      <c r="B8" s="2" t="inlineStr">
        <is>
          <t>OrganeArbitrage</t>
        </is>
      </c>
      <c r="C8" s="2" t="inlineStr">
        <is>
          <t>Acteur</t>
        </is>
      </c>
      <c r="D8" s="2" t="inlineStr">
        <is>
          <t>Organe d’arbitrage des litiges</t>
        </is>
      </c>
      <c r="E8" s="2" t="inlineStr">
        <is>
          <t>Contrats PDL-145T</t>
        </is>
      </c>
    </row>
    <row r="9">
      <c r="A9" s="2" t="inlineStr">
        <is>
          <t>C8</t>
        </is>
      </c>
      <c r="B9" s="2" t="inlineStr">
        <is>
          <t>EntiteTerritoriale</t>
        </is>
      </c>
      <c r="C9" s="2" t="inlineStr"/>
      <c r="D9" s="2" t="inlineStr">
        <is>
          <t>Unité géographique</t>
        </is>
      </c>
      <c r="E9" s="2" t="inlineStr">
        <is>
          <t>Contrats PDL-145T</t>
        </is>
      </c>
    </row>
    <row r="10">
      <c r="A10" s="2" t="inlineStr">
        <is>
          <t>C9</t>
        </is>
      </c>
      <c r="B10" s="2" t="inlineStr">
        <is>
          <t>Province</t>
        </is>
      </c>
      <c r="C10" s="2" t="inlineStr">
        <is>
          <t>EntiteTerritoriale</t>
        </is>
      </c>
      <c r="D10" s="2" t="inlineStr">
        <is>
          <t>Province d’exécution</t>
        </is>
      </c>
      <c r="E10" s="2" t="inlineStr">
        <is>
          <t>Contrats PDL-145T</t>
        </is>
      </c>
    </row>
    <row r="11">
      <c r="A11" s="2" t="inlineStr">
        <is>
          <t>C10</t>
        </is>
      </c>
      <c r="B11" s="2" t="inlineStr">
        <is>
          <t>Territoire</t>
        </is>
      </c>
      <c r="C11" s="2" t="inlineStr">
        <is>
          <t>EntiteTerritoriale</t>
        </is>
      </c>
      <c r="D11" s="2" t="inlineStr">
        <is>
          <t>Territoire d’exécution</t>
        </is>
      </c>
      <c r="E11" s="2" t="inlineStr">
        <is>
          <t>Contrats PDL-145T</t>
        </is>
      </c>
    </row>
    <row r="12">
      <c r="A12" s="2" t="inlineStr">
        <is>
          <t>C11</t>
        </is>
      </c>
      <c r="B12" s="2" t="inlineStr">
        <is>
          <t>Marche</t>
        </is>
      </c>
      <c r="C12" s="2" t="inlineStr"/>
      <c r="D12" s="2" t="inlineStr">
        <is>
          <t>Marché public lié au programme</t>
        </is>
      </c>
      <c r="E12" s="2" t="inlineStr">
        <is>
          <t>Contrats PDL-145T</t>
        </is>
      </c>
    </row>
    <row r="13">
      <c r="A13" s="2" t="inlineStr">
        <is>
          <t>C12</t>
        </is>
      </c>
      <c r="B13" s="2" t="inlineStr">
        <is>
          <t>ContratTravaux</t>
        </is>
      </c>
      <c r="C13" s="2" t="inlineStr">
        <is>
          <t>Marche</t>
        </is>
      </c>
      <c r="D13" s="2" t="inlineStr">
        <is>
          <t>Contrat de travaux</t>
        </is>
      </c>
      <c r="E13" s="2" t="inlineStr">
        <is>
          <t>Contrats PDL-145T</t>
        </is>
      </c>
    </row>
    <row r="14">
      <c r="A14" s="2" t="inlineStr">
        <is>
          <t>C13</t>
        </is>
      </c>
      <c r="B14" s="2" t="inlineStr">
        <is>
          <t>Lot</t>
        </is>
      </c>
      <c r="C14" s="2" t="inlineStr">
        <is>
          <t>Marche</t>
        </is>
      </c>
      <c r="D14" s="2" t="inlineStr">
        <is>
          <t>Lot territorial du marché</t>
        </is>
      </c>
      <c r="E14" s="2" t="inlineStr">
        <is>
          <t>Contrats PDL-145T</t>
        </is>
      </c>
    </row>
    <row r="15">
      <c r="A15" s="2" t="inlineStr">
        <is>
          <t>C14</t>
        </is>
      </c>
      <c r="B15" s="2" t="inlineStr">
        <is>
          <t>Ouvrage</t>
        </is>
      </c>
      <c r="C15" s="2" t="inlineStr"/>
      <c r="D15" s="2" t="inlineStr">
        <is>
          <t>Infrastructure réalisée</t>
        </is>
      </c>
      <c r="E15" s="2" t="inlineStr">
        <is>
          <t>Contrats PDL-145T</t>
        </is>
      </c>
    </row>
    <row r="16">
      <c r="A16" s="2" t="inlineStr">
        <is>
          <t>C15</t>
        </is>
      </c>
      <c r="B16" s="2" t="inlineStr">
        <is>
          <t>Ecole</t>
        </is>
      </c>
      <c r="C16" s="2" t="inlineStr">
        <is>
          <t>Ouvrage</t>
        </is>
      </c>
      <c r="D16" s="2" t="inlineStr">
        <is>
          <t>Infrastructure scolaire</t>
        </is>
      </c>
      <c r="E16" s="2" t="inlineStr">
        <is>
          <t>Contrats PDL-145T</t>
        </is>
      </c>
    </row>
    <row r="17">
      <c r="A17" s="2" t="inlineStr">
        <is>
          <t>C16</t>
        </is>
      </c>
      <c r="B17" s="2" t="inlineStr">
        <is>
          <t>CentreSante</t>
        </is>
      </c>
      <c r="C17" s="2" t="inlineStr">
        <is>
          <t>Ouvrage</t>
        </is>
      </c>
      <c r="D17" s="2" t="inlineStr">
        <is>
          <t>Infrastructure sanitaire</t>
        </is>
      </c>
      <c r="E17" s="2" t="inlineStr">
        <is>
          <t>Contrats PDL-145T</t>
        </is>
      </c>
    </row>
    <row r="18">
      <c r="A18" s="2" t="inlineStr">
        <is>
          <t>C17</t>
        </is>
      </c>
      <c r="B18" s="2" t="inlineStr">
        <is>
          <t>BatimentAdministratif</t>
        </is>
      </c>
      <c r="C18" s="2" t="inlineStr">
        <is>
          <t>Ouvrage</t>
        </is>
      </c>
      <c r="D18" s="2" t="inlineStr">
        <is>
          <t>Infrastructure administrative</t>
        </is>
      </c>
      <c r="E18" s="2" t="inlineStr">
        <is>
          <t>Contrats PDL-145T</t>
        </is>
      </c>
    </row>
    <row r="19">
      <c r="A19" s="2" t="inlineStr">
        <is>
          <t>C18</t>
        </is>
      </c>
      <c r="B19" s="2" t="inlineStr">
        <is>
          <t>DocumentContractuel</t>
        </is>
      </c>
      <c r="C19" s="2" t="inlineStr"/>
      <c r="D19" s="2" t="inlineStr">
        <is>
          <t>Pièce constitutive du marché</t>
        </is>
      </c>
      <c r="E19" s="2" t="inlineStr">
        <is>
          <t>Contrats PDL-145T</t>
        </is>
      </c>
    </row>
    <row r="20">
      <c r="A20" s="2" t="inlineStr">
        <is>
          <t>C19</t>
        </is>
      </c>
      <c r="B20" s="2" t="inlineStr">
        <is>
          <t>Plan</t>
        </is>
      </c>
      <c r="C20" s="2" t="inlineStr">
        <is>
          <t>DocumentContractuel</t>
        </is>
      </c>
      <c r="D20" s="2" t="inlineStr">
        <is>
          <t>Plan technique ou architectural</t>
        </is>
      </c>
      <c r="E20" s="2" t="inlineStr">
        <is>
          <t>Contrats PDL-145T</t>
        </is>
      </c>
    </row>
    <row r="21">
      <c r="A21" s="2" t="inlineStr">
        <is>
          <t>C20</t>
        </is>
      </c>
      <c r="B21" s="2" t="inlineStr">
        <is>
          <t>DispositionFinanciere</t>
        </is>
      </c>
      <c r="C21" s="2" t="inlineStr"/>
      <c r="D21" s="2" t="inlineStr">
        <is>
          <t>Paramètre financier du marché</t>
        </is>
      </c>
      <c r="E21" s="2" t="inlineStr">
        <is>
          <t>Contrats PDL-145T</t>
        </is>
      </c>
    </row>
    <row r="22">
      <c r="A22" s="2" t="inlineStr">
        <is>
          <t>C21</t>
        </is>
      </c>
      <c r="B22" s="2" t="inlineStr">
        <is>
          <t>ExigenceHSE</t>
        </is>
      </c>
      <c r="C22" s="2" t="inlineStr"/>
      <c r="D22" s="2" t="inlineStr">
        <is>
          <t>Exigence hygiène sécurité environnement</t>
        </is>
      </c>
      <c r="E22" s="2" t="inlineStr">
        <is>
          <t>Contrats PDL-145T</t>
        </is>
      </c>
    </row>
    <row r="23">
      <c r="A23" s="2" t="inlineStr">
        <is>
          <t>C22</t>
        </is>
      </c>
      <c r="B23" s="2" t="inlineStr">
        <is>
          <t>GarantieEtAssurance</t>
        </is>
      </c>
      <c r="C23" s="2" t="inlineStr"/>
      <c r="D23" s="2" t="inlineStr">
        <is>
          <t>Garantie ou police d’assurance exigée</t>
        </is>
      </c>
      <c r="E23" s="2" t="inlineStr">
        <is>
          <t>Contrats PDL-145T</t>
        </is>
      </c>
    </row>
    <row r="24">
      <c r="A24" s="2" t="inlineStr">
        <is>
          <t>C23</t>
        </is>
      </c>
      <c r="B24" s="2" t="inlineStr">
        <is>
          <t>MecanismeReglementDifferends</t>
        </is>
      </c>
      <c r="C24" s="2" t="inlineStr"/>
      <c r="D24" s="2" t="inlineStr">
        <is>
          <t>Dispositif de règlement des litiges</t>
        </is>
      </c>
      <c r="E24" s="2" t="inlineStr">
        <is>
          <t>Contrats PDL-145T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8" customWidth="1" min="3" max="3"/>
    <col width="13" customWidth="1" min="4" max="4"/>
    <col width="48" customWidth="1" min="5" max="5"/>
  </cols>
  <sheetData>
    <row r="1" ht="22" customHeight="1">
      <c r="A1" s="1" t="inlineStr">
        <is>
          <t>ID_Attribut</t>
        </is>
      </c>
      <c r="B1" s="1" t="inlineStr">
        <is>
          <t>Classe</t>
        </is>
      </c>
      <c r="C1" s="1" t="inlineStr">
        <is>
          <t>Attribut</t>
        </is>
      </c>
      <c r="D1" s="1" t="inlineStr">
        <is>
          <t>Type</t>
        </is>
      </c>
      <c r="E1" s="1" t="inlineStr">
        <is>
          <t>Exemple</t>
        </is>
      </c>
    </row>
    <row r="2">
      <c r="A2" s="2" t="inlineStr">
        <is>
          <t>A1</t>
        </is>
      </c>
      <c r="B2" s="2" t="inlineStr">
        <is>
          <t>Programme</t>
        </is>
      </c>
      <c r="C2" s="2" t="inlineStr">
        <is>
          <t>nomProgramme</t>
        </is>
      </c>
      <c r="D2" s="2" t="inlineStr">
        <is>
          <t>Texte</t>
        </is>
      </c>
      <c r="E2" s="2" t="inlineStr">
        <is>
          <t>Programme de Développement Local des 145 Territoires</t>
        </is>
      </c>
    </row>
    <row r="3">
      <c r="A3" s="2" t="inlineStr">
        <is>
          <t>A2</t>
        </is>
      </c>
      <c r="B3" s="2" t="inlineStr">
        <is>
          <t>Programme</t>
        </is>
      </c>
      <c r="C3" s="2" t="inlineStr">
        <is>
          <t>codeProgramme</t>
        </is>
      </c>
      <c r="D3" s="2" t="inlineStr">
        <is>
          <t>Texte</t>
        </is>
      </c>
      <c r="E3" s="2" t="inlineStr">
        <is>
          <t>PDL-145T</t>
        </is>
      </c>
    </row>
    <row r="4">
      <c r="A4" s="2" t="inlineStr">
        <is>
          <t>A3</t>
        </is>
      </c>
      <c r="B4" s="2" t="inlineStr">
        <is>
          <t>Programme</t>
        </is>
      </c>
      <c r="C4" s="2" t="inlineStr">
        <is>
          <t>sourceFinancement</t>
        </is>
      </c>
      <c r="D4" s="2" t="inlineStr">
        <is>
          <t>Texte</t>
        </is>
      </c>
      <c r="E4" s="2" t="inlineStr">
        <is>
          <t>Gouvernement - Ressources DTS</t>
        </is>
      </c>
    </row>
    <row r="5">
      <c r="A5" s="2" t="inlineStr">
        <is>
          <t>A4</t>
        </is>
      </c>
      <c r="B5" s="2" t="inlineStr">
        <is>
          <t>ContratTravaux</t>
        </is>
      </c>
      <c r="C5" s="2" t="inlineStr">
        <is>
          <t>numeroContrat</t>
        </is>
      </c>
      <c r="D5" s="2" t="inlineStr">
        <is>
          <t>Texte</t>
        </is>
      </c>
      <c r="E5" s="2" t="inlineStr">
        <is>
          <t>CFEF/PDL-145T/Tvx/T28/PM/2022/...</t>
        </is>
      </c>
    </row>
    <row r="6">
      <c r="A6" s="2" t="inlineStr">
        <is>
          <t>A5</t>
        </is>
      </c>
      <c r="B6" s="2" t="inlineStr">
        <is>
          <t>ContratTravaux</t>
        </is>
      </c>
      <c r="C6" s="2" t="inlineStr">
        <is>
          <t>montantTTC_HorsTVA</t>
        </is>
      </c>
      <c r="D6" s="2" t="inlineStr">
        <is>
          <t>Nombre</t>
        </is>
      </c>
      <c r="E6" s="2" t="inlineStr">
        <is>
          <t>3048654.06</t>
        </is>
      </c>
    </row>
    <row r="7">
      <c r="A7" s="2" t="inlineStr">
        <is>
          <t>A6</t>
        </is>
      </c>
      <c r="B7" s="2" t="inlineStr">
        <is>
          <t>ContratTravaux</t>
        </is>
      </c>
      <c r="C7" s="2" t="inlineStr">
        <is>
          <t>dureeExecution</t>
        </is>
      </c>
      <c r="D7" s="2" t="inlineStr">
        <is>
          <t>Texte</t>
        </is>
      </c>
      <c r="E7" s="2" t="inlineStr">
        <is>
          <t>5,5 mois</t>
        </is>
      </c>
    </row>
    <row r="8">
      <c r="A8" s="2" t="inlineStr">
        <is>
          <t>A7</t>
        </is>
      </c>
      <c r="B8" s="2" t="inlineStr">
        <is>
          <t>ContratTravaux</t>
        </is>
      </c>
      <c r="C8" s="2" t="inlineStr">
        <is>
          <t>tauxGarantieBonneExecution</t>
        </is>
      </c>
      <c r="D8" s="2" t="inlineStr">
        <is>
          <t>Pourcentage</t>
        </is>
      </c>
      <c r="E8" s="2" t="inlineStr">
        <is>
          <t>5%</t>
        </is>
      </c>
    </row>
    <row r="9">
      <c r="A9" s="2" t="inlineStr">
        <is>
          <t>A8</t>
        </is>
      </c>
      <c r="B9" s="2" t="inlineStr">
        <is>
          <t>ContratTravaux</t>
        </is>
      </c>
      <c r="C9" s="2" t="inlineStr">
        <is>
          <t>tauxRetenueGarantie</t>
        </is>
      </c>
      <c r="D9" s="2" t="inlineStr">
        <is>
          <t>Pourcentage</t>
        </is>
      </c>
      <c r="E9" s="2" t="inlineStr">
        <is>
          <t>5%</t>
        </is>
      </c>
    </row>
    <row r="10">
      <c r="A10" s="2" t="inlineStr">
        <is>
          <t>A9</t>
        </is>
      </c>
      <c r="B10" s="2" t="inlineStr">
        <is>
          <t>ContratTravaux</t>
        </is>
      </c>
      <c r="C10" s="2" t="inlineStr">
        <is>
          <t>tauxAvanceDemarrage</t>
        </is>
      </c>
      <c r="D10" s="2" t="inlineStr">
        <is>
          <t>Pourcentage</t>
        </is>
      </c>
      <c r="E10" s="2" t="inlineStr">
        <is>
          <t>30%</t>
        </is>
      </c>
    </row>
    <row r="11">
      <c r="A11" s="2" t="inlineStr">
        <is>
          <t>A10</t>
        </is>
      </c>
      <c r="B11" s="2" t="inlineStr">
        <is>
          <t>ContratTravaux</t>
        </is>
      </c>
      <c r="C11" s="2" t="inlineStr">
        <is>
          <t>penaliteJournaliere</t>
        </is>
      </c>
      <c r="D11" s="2" t="inlineStr">
        <is>
          <t>Texte</t>
        </is>
      </c>
      <c r="E11" s="2" t="inlineStr">
        <is>
          <t>1/1000 du montant du marché</t>
        </is>
      </c>
    </row>
    <row r="12">
      <c r="A12" s="2" t="inlineStr">
        <is>
          <t>A11</t>
        </is>
      </c>
      <c r="B12" s="2" t="inlineStr">
        <is>
          <t>ContratTravaux</t>
        </is>
      </c>
      <c r="C12" s="2" t="inlineStr">
        <is>
          <t>plafondPenalite</t>
        </is>
      </c>
      <c r="D12" s="2" t="inlineStr">
        <is>
          <t>Pourcentage</t>
        </is>
      </c>
      <c r="E12" s="2" t="inlineStr">
        <is>
          <t>10%</t>
        </is>
      </c>
    </row>
    <row r="13">
      <c r="A13" s="2" t="inlineStr">
        <is>
          <t>A12</t>
        </is>
      </c>
      <c r="B13" s="2" t="inlineStr">
        <is>
          <t>Lot</t>
        </is>
      </c>
      <c r="C13" s="2" t="inlineStr">
        <is>
          <t>codeLot</t>
        </is>
      </c>
      <c r="D13" s="2" t="inlineStr">
        <is>
          <t>Texte</t>
        </is>
      </c>
      <c r="E13" s="2" t="inlineStr">
        <is>
          <t>Lot 8</t>
        </is>
      </c>
    </row>
    <row r="14">
      <c r="A14" s="2" t="inlineStr">
        <is>
          <t>A13</t>
        </is>
      </c>
      <c r="B14" s="2" t="inlineStr">
        <is>
          <t>Lot</t>
        </is>
      </c>
      <c r="C14" s="2" t="inlineStr">
        <is>
          <t>territoire</t>
        </is>
      </c>
      <c r="D14" s="2" t="inlineStr">
        <is>
          <t>Texte</t>
        </is>
      </c>
      <c r="E14" s="2" t="inlineStr">
        <is>
          <t>Yumbi</t>
        </is>
      </c>
    </row>
    <row r="15">
      <c r="A15" s="2" t="inlineStr">
        <is>
          <t>A14</t>
        </is>
      </c>
      <c r="B15" s="2" t="inlineStr">
        <is>
          <t>Ouvrage</t>
        </is>
      </c>
      <c r="C15" s="2" t="inlineStr">
        <is>
          <t>typeOuvrage</t>
        </is>
      </c>
      <c r="D15" s="2" t="inlineStr">
        <is>
          <t>Texte</t>
        </is>
      </c>
      <c r="E15" s="2" t="inlineStr">
        <is>
          <t>Ecole</t>
        </is>
      </c>
    </row>
    <row r="16">
      <c r="A16" s="2" t="inlineStr">
        <is>
          <t>A15</t>
        </is>
      </c>
      <c r="B16" s="2" t="inlineStr">
        <is>
          <t>Ouvrage</t>
        </is>
      </c>
      <c r="C16" s="2" t="inlineStr">
        <is>
          <t>quantite</t>
        </is>
      </c>
      <c r="D16" s="2" t="inlineStr">
        <is>
          <t>Nombre</t>
        </is>
      </c>
      <c r="E16" s="2" t="inlineStr">
        <is>
          <t>11</t>
        </is>
      </c>
    </row>
    <row r="17">
      <c r="A17" s="2" t="inlineStr">
        <is>
          <t>A16</t>
        </is>
      </c>
      <c r="B17" s="2" t="inlineStr">
        <is>
          <t>Province</t>
        </is>
      </c>
      <c r="C17" s="2" t="inlineStr">
        <is>
          <t>nomProvince</t>
        </is>
      </c>
      <c r="D17" s="2" t="inlineStr">
        <is>
          <t>Texte</t>
        </is>
      </c>
      <c r="E17" s="2" t="inlineStr">
        <is>
          <t>Mai-Ndombe</t>
        </is>
      </c>
    </row>
    <row r="18">
      <c r="A18" s="2" t="inlineStr">
        <is>
          <t>A17</t>
        </is>
      </c>
      <c r="B18" s="2" t="inlineStr">
        <is>
          <t>Territoire</t>
        </is>
      </c>
      <c r="C18" s="2" t="inlineStr">
        <is>
          <t>nomTerritoire</t>
        </is>
      </c>
      <c r="D18" s="2" t="inlineStr">
        <is>
          <t>Texte</t>
        </is>
      </c>
      <c r="E18" s="2" t="inlineStr">
        <is>
          <t>Inongo</t>
        </is>
      </c>
    </row>
    <row r="19">
      <c r="A19" s="2" t="inlineStr">
        <is>
          <t>A18</t>
        </is>
      </c>
      <c r="B19" s="2" t="inlineStr">
        <is>
          <t>ExigenceHSE</t>
        </is>
      </c>
      <c r="C19" s="2" t="inlineStr">
        <is>
          <t>delaiSoumissionPGES</t>
        </is>
      </c>
      <c r="D19" s="2" t="inlineStr">
        <is>
          <t>Texte</t>
        </is>
      </c>
      <c r="E19" s="2" t="inlineStr">
        <is>
          <t>30 jours</t>
        </is>
      </c>
    </row>
    <row r="20">
      <c r="A20" s="2" t="inlineStr">
        <is>
          <t>A19</t>
        </is>
      </c>
      <c r="B20" s="2" t="inlineStr">
        <is>
          <t>GarantieEtAssurance</t>
        </is>
      </c>
      <c r="C20" s="2" t="inlineStr">
        <is>
          <t>typeGarantie</t>
        </is>
      </c>
      <c r="D20" s="2" t="inlineStr">
        <is>
          <t>Texte</t>
        </is>
      </c>
      <c r="E20" s="2" t="inlineStr">
        <is>
          <t>Garantie de bonne exécution</t>
        </is>
      </c>
    </row>
    <row r="21">
      <c r="A21" s="2" t="inlineStr">
        <is>
          <t>A20</t>
        </is>
      </c>
      <c r="B21" s="2" t="inlineStr">
        <is>
          <t>DispositionFinanciere</t>
        </is>
      </c>
      <c r="C21" s="2" t="inlineStr">
        <is>
          <t>taux</t>
        </is>
      </c>
      <c r="D21" s="2" t="inlineStr">
        <is>
          <t>Texte</t>
        </is>
      </c>
      <c r="E21" s="2" t="inlineStr">
        <is>
          <t>0,7%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  <col width="30" customWidth="1" min="4" max="4"/>
    <col width="42" customWidth="1" min="5" max="5"/>
  </cols>
  <sheetData>
    <row r="1" ht="22" customHeight="1">
      <c r="A1" s="1" t="inlineStr">
        <is>
          <t>ID_Relation</t>
        </is>
      </c>
      <c r="B1" s="1" t="inlineStr">
        <is>
          <t>Sujet</t>
        </is>
      </c>
      <c r="C1" s="1" t="inlineStr">
        <is>
          <t>Relation</t>
        </is>
      </c>
      <c r="D1" s="1" t="inlineStr">
        <is>
          <t>Objet</t>
        </is>
      </c>
      <c r="E1" s="1" t="inlineStr">
        <is>
          <t>Description</t>
        </is>
      </c>
    </row>
    <row r="2">
      <c r="A2" s="2" t="inlineStr">
        <is>
          <t>R1</t>
        </is>
      </c>
      <c r="B2" s="2" t="inlineStr">
        <is>
          <t>Programme</t>
        </is>
      </c>
      <c r="C2" s="2" t="inlineStr">
        <is>
          <t>aPourLot</t>
        </is>
      </c>
      <c r="D2" s="2" t="inlineStr">
        <is>
          <t>Lot</t>
        </is>
      </c>
      <c r="E2" s="2" t="inlineStr">
        <is>
          <t>Le programme comprend des lots</t>
        </is>
      </c>
    </row>
    <row r="3">
      <c r="A3" s="2" t="inlineStr">
        <is>
          <t>R2</t>
        </is>
      </c>
      <c r="B3" s="2" t="inlineStr">
        <is>
          <t>Lot</t>
        </is>
      </c>
      <c r="C3" s="2" t="inlineStr">
        <is>
          <t>estExecuteDans</t>
        </is>
      </c>
      <c r="D3" s="2" t="inlineStr">
        <is>
          <t>Territoire</t>
        </is>
      </c>
      <c r="E3" s="2" t="inlineStr">
        <is>
          <t>Le lot est rattaché à un territoire</t>
        </is>
      </c>
    </row>
    <row r="4">
      <c r="A4" s="2" t="inlineStr">
        <is>
          <t>R3</t>
        </is>
      </c>
      <c r="B4" s="2" t="inlineStr">
        <is>
          <t>Territoire</t>
        </is>
      </c>
      <c r="C4" s="2" t="inlineStr">
        <is>
          <t>appartientA</t>
        </is>
      </c>
      <c r="D4" s="2" t="inlineStr">
        <is>
          <t>Province</t>
        </is>
      </c>
      <c r="E4" s="2" t="inlineStr">
        <is>
          <t>Le territoire appartient à une province</t>
        </is>
      </c>
    </row>
    <row r="5">
      <c r="A5" s="2" t="inlineStr">
        <is>
          <t>R4</t>
        </is>
      </c>
      <c r="B5" s="2" t="inlineStr">
        <is>
          <t>ContratTravaux</t>
        </is>
      </c>
      <c r="C5" s="2" t="inlineStr">
        <is>
          <t>estPassePar</t>
        </is>
      </c>
      <c r="D5" s="2" t="inlineStr">
        <is>
          <t>AutoriteContractante</t>
        </is>
      </c>
      <c r="E5" s="2" t="inlineStr">
        <is>
          <t>Le contrat est passé par la CFEF</t>
        </is>
      </c>
    </row>
    <row r="6">
      <c r="A6" s="2" t="inlineStr">
        <is>
          <t>R5</t>
        </is>
      </c>
      <c r="B6" s="2" t="inlineStr">
        <is>
          <t>ContratTravaux</t>
        </is>
      </c>
      <c r="C6" s="2" t="inlineStr">
        <is>
          <t>estAttribueA</t>
        </is>
      </c>
      <c r="D6" s="2" t="inlineStr">
        <is>
          <t>GroupementEntreprise</t>
        </is>
      </c>
      <c r="E6" s="2" t="inlineStr">
        <is>
          <t>Le contrat est attribué au groupement</t>
        </is>
      </c>
    </row>
    <row r="7">
      <c r="A7" s="2" t="inlineStr">
        <is>
          <t>R6</t>
        </is>
      </c>
      <c r="B7" s="2" t="inlineStr">
        <is>
          <t>GroupementEntreprise</t>
        </is>
      </c>
      <c r="C7" s="2" t="inlineStr">
        <is>
          <t>estConstitueDe</t>
        </is>
      </c>
      <c r="D7" s="2" t="inlineStr">
        <is>
          <t>Entreprise</t>
        </is>
      </c>
      <c r="E7" s="2" t="inlineStr">
        <is>
          <t>Le groupement est composé d’entreprises</t>
        </is>
      </c>
    </row>
    <row r="8">
      <c r="A8" s="2" t="inlineStr">
        <is>
          <t>R7</t>
        </is>
      </c>
      <c r="B8" s="2" t="inlineStr">
        <is>
          <t>ContratTravaux</t>
        </is>
      </c>
      <c r="C8" s="2" t="inlineStr">
        <is>
          <t>porteSur</t>
        </is>
      </c>
      <c r="D8" s="2" t="inlineStr">
        <is>
          <t>Ouvrage</t>
        </is>
      </c>
      <c r="E8" s="2" t="inlineStr">
        <is>
          <t>Le contrat couvre certains ouvrages</t>
        </is>
      </c>
    </row>
    <row r="9">
      <c r="A9" s="2" t="inlineStr">
        <is>
          <t>R8</t>
        </is>
      </c>
      <c r="B9" s="2" t="inlineStr">
        <is>
          <t>ContratTravaux</t>
        </is>
      </c>
      <c r="C9" s="2" t="inlineStr">
        <is>
          <t>estDocumentePar</t>
        </is>
      </c>
      <c r="D9" s="2" t="inlineStr">
        <is>
          <t>DocumentContractuel</t>
        </is>
      </c>
      <c r="E9" s="2" t="inlineStr">
        <is>
          <t>Le contrat est défini par des pièces</t>
        </is>
      </c>
    </row>
    <row r="10">
      <c r="A10" s="2" t="inlineStr">
        <is>
          <t>R9</t>
        </is>
      </c>
      <c r="B10" s="2" t="inlineStr">
        <is>
          <t>Ouvrage</t>
        </is>
      </c>
      <c r="C10" s="2" t="inlineStr">
        <is>
          <t>estDecritPar</t>
        </is>
      </c>
      <c r="D10" s="2" t="inlineStr">
        <is>
          <t>Plan</t>
        </is>
      </c>
      <c r="E10" s="2" t="inlineStr">
        <is>
          <t>L’ouvrage est décrit par des plans</t>
        </is>
      </c>
    </row>
    <row r="11">
      <c r="A11" s="2" t="inlineStr">
        <is>
          <t>R10</t>
        </is>
      </c>
      <c r="B11" s="2" t="inlineStr">
        <is>
          <t>ContratTravaux</t>
        </is>
      </c>
      <c r="C11" s="2" t="inlineStr">
        <is>
          <t>exige</t>
        </is>
      </c>
      <c r="D11" s="2" t="inlineStr">
        <is>
          <t>GarantieEtAssurance</t>
        </is>
      </c>
      <c r="E11" s="2" t="inlineStr">
        <is>
          <t>Le contrat impose garanties et assurances</t>
        </is>
      </c>
    </row>
    <row r="12">
      <c r="A12" s="2" t="inlineStr">
        <is>
          <t>R11</t>
        </is>
      </c>
      <c r="B12" s="2" t="inlineStr">
        <is>
          <t>ContratTravaux</t>
        </is>
      </c>
      <c r="C12" s="2" t="inlineStr">
        <is>
          <t>impose</t>
        </is>
      </c>
      <c r="D12" s="2" t="inlineStr">
        <is>
          <t>ExigenceHSE</t>
        </is>
      </c>
      <c r="E12" s="2" t="inlineStr">
        <is>
          <t>Le contrat impose des exigences HSE</t>
        </is>
      </c>
    </row>
    <row r="13">
      <c r="A13" s="2" t="inlineStr">
        <is>
          <t>R12</t>
        </is>
      </c>
      <c r="B13" s="2" t="inlineStr">
        <is>
          <t>Litige</t>
        </is>
      </c>
      <c r="C13" s="2" t="inlineStr">
        <is>
          <t>estReglePar</t>
        </is>
      </c>
      <c r="D13" s="2" t="inlineStr">
        <is>
          <t>MecanismeReglementDifferends</t>
        </is>
      </c>
      <c r="E13" s="2" t="inlineStr">
        <is>
          <t>Le litige suit une procédure définie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9" customWidth="1" min="4" max="4"/>
    <col width="31" customWidth="1" min="5" max="5"/>
  </cols>
  <sheetData>
    <row r="1" ht="22" customHeight="1">
      <c r="A1" s="1" t="inlineStr">
        <is>
          <t>ID_Instance</t>
        </is>
      </c>
      <c r="B1" s="1" t="inlineStr">
        <is>
          <t>Classe</t>
        </is>
      </c>
      <c r="C1" s="1" t="inlineStr">
        <is>
          <t>Nom_Instance</t>
        </is>
      </c>
      <c r="D1" s="1" t="inlineStr">
        <is>
          <t>Attribut_cle</t>
        </is>
      </c>
      <c r="E1" s="1" t="inlineStr">
        <is>
          <t>Valeur</t>
        </is>
      </c>
    </row>
    <row r="2">
      <c r="A2" s="2" t="inlineStr">
        <is>
          <t>I1</t>
        </is>
      </c>
      <c r="B2" s="2" t="inlineStr">
        <is>
          <t>Programme</t>
        </is>
      </c>
      <c r="C2" s="2" t="inlineStr">
        <is>
          <t>PDL-145T</t>
        </is>
      </c>
      <c r="D2" s="2" t="inlineStr">
        <is>
          <t>sourceFinancement</t>
        </is>
      </c>
      <c r="E2" s="2" t="inlineStr">
        <is>
          <t>Gouvernement - Ressources DTS</t>
        </is>
      </c>
    </row>
    <row r="3">
      <c r="A3" s="2" t="inlineStr">
        <is>
          <t>I2</t>
        </is>
      </c>
      <c r="B3" s="2" t="inlineStr">
        <is>
          <t>AutoriteContractante</t>
        </is>
      </c>
      <c r="C3" s="2" t="inlineStr">
        <is>
          <t>CFEF</t>
        </is>
      </c>
      <c r="D3" s="2" t="inlineStr">
        <is>
          <t>role</t>
        </is>
      </c>
      <c r="E3" s="2" t="inlineStr">
        <is>
          <t>Autorité contractante</t>
        </is>
      </c>
    </row>
    <row r="4">
      <c r="A4" s="2" t="inlineStr">
        <is>
          <t>I3</t>
        </is>
      </c>
      <c r="B4" s="2" t="inlineStr">
        <is>
          <t>GroupementEntreprise</t>
        </is>
      </c>
      <c r="C4" s="2" t="inlineStr">
        <is>
          <t>Groupement_ASCAT_SPPE</t>
        </is>
      </c>
      <c r="D4" s="2" t="inlineStr">
        <is>
          <t>role</t>
        </is>
      </c>
      <c r="E4" s="2" t="inlineStr">
        <is>
          <t>Titulaire</t>
        </is>
      </c>
    </row>
    <row r="5">
      <c r="A5" s="2" t="inlineStr">
        <is>
          <t>I4</t>
        </is>
      </c>
      <c r="B5" s="2" t="inlineStr">
        <is>
          <t>Entreprise</t>
        </is>
      </c>
      <c r="C5" s="2" t="inlineStr">
        <is>
          <t>ASCAT_SARL</t>
        </is>
      </c>
      <c r="D5" s="2" t="inlineStr">
        <is>
          <t>role</t>
        </is>
      </c>
      <c r="E5" s="2" t="inlineStr">
        <is>
          <t>Chef de file</t>
        </is>
      </c>
    </row>
    <row r="6">
      <c r="A6" s="2" t="inlineStr">
        <is>
          <t>I5</t>
        </is>
      </c>
      <c r="B6" s="2" t="inlineStr">
        <is>
          <t>Entreprise</t>
        </is>
      </c>
      <c r="C6" s="2" t="inlineStr">
        <is>
          <t>SPPE_SARL</t>
        </is>
      </c>
      <c r="D6" s="2" t="inlineStr">
        <is>
          <t>role</t>
        </is>
      </c>
      <c r="E6" s="2" t="inlineStr">
        <is>
          <t>Membre du groupement</t>
        </is>
      </c>
    </row>
    <row r="7">
      <c r="A7" s="2" t="inlineStr">
        <is>
          <t>I6</t>
        </is>
      </c>
      <c r="B7" s="2" t="inlineStr">
        <is>
          <t>Province</t>
        </is>
      </c>
      <c r="C7" s="2" t="inlineStr">
        <is>
          <t>Mai_Ndombe</t>
        </is>
      </c>
      <c r="D7" s="2" t="inlineStr">
        <is>
          <t>type</t>
        </is>
      </c>
      <c r="E7" s="2" t="inlineStr">
        <is>
          <t>Province</t>
        </is>
      </c>
    </row>
    <row r="8">
      <c r="A8" s="2" t="inlineStr">
        <is>
          <t>I7</t>
        </is>
      </c>
      <c r="B8" s="2" t="inlineStr">
        <is>
          <t>Territoire</t>
        </is>
      </c>
      <c r="C8" s="2" t="inlineStr">
        <is>
          <t>Yumbi</t>
        </is>
      </c>
      <c r="D8" s="2" t="inlineStr">
        <is>
          <t>province</t>
        </is>
      </c>
      <c r="E8" s="2" t="inlineStr">
        <is>
          <t>Mai-Ndombe</t>
        </is>
      </c>
    </row>
    <row r="9">
      <c r="A9" s="2" t="inlineStr">
        <is>
          <t>I8</t>
        </is>
      </c>
      <c r="B9" s="2" t="inlineStr">
        <is>
          <t>Territoire</t>
        </is>
      </c>
      <c r="C9" s="2" t="inlineStr">
        <is>
          <t>Inongo</t>
        </is>
      </c>
      <c r="D9" s="2" t="inlineStr">
        <is>
          <t>province</t>
        </is>
      </c>
      <c r="E9" s="2" t="inlineStr">
        <is>
          <t>Mai-Ndombe</t>
        </is>
      </c>
    </row>
    <row r="10">
      <c r="A10" s="2" t="inlineStr">
        <is>
          <t>I9</t>
        </is>
      </c>
      <c r="B10" s="2" t="inlineStr">
        <is>
          <t>Territoire</t>
        </is>
      </c>
      <c r="C10" s="2" t="inlineStr">
        <is>
          <t>Mushi</t>
        </is>
      </c>
      <c r="D10" s="2" t="inlineStr">
        <is>
          <t>province</t>
        </is>
      </c>
      <c r="E10" s="2" t="inlineStr">
        <is>
          <t>Mai-Ndombe</t>
        </is>
      </c>
    </row>
    <row r="11">
      <c r="A11" s="2" t="inlineStr">
        <is>
          <t>I10</t>
        </is>
      </c>
      <c r="B11" s="2" t="inlineStr">
        <is>
          <t>ContratTravaux</t>
        </is>
      </c>
      <c r="C11" s="2" t="inlineStr">
        <is>
          <t>Contrat_Lot8_Yumbi</t>
        </is>
      </c>
      <c r="D11" s="2" t="inlineStr">
        <is>
          <t>montant</t>
        </is>
      </c>
      <c r="E11" s="2" t="inlineStr">
        <is>
          <t>3048654.06</t>
        </is>
      </c>
    </row>
    <row r="12">
      <c r="A12" s="2" t="inlineStr">
        <is>
          <t>I11</t>
        </is>
      </c>
      <c r="B12" s="2" t="inlineStr">
        <is>
          <t>ContratTravaux</t>
        </is>
      </c>
      <c r="C12" s="2" t="inlineStr">
        <is>
          <t>Contrat_Lot2_Inongo</t>
        </is>
      </c>
      <c r="D12" s="2" t="inlineStr">
        <is>
          <t>montant</t>
        </is>
      </c>
      <c r="E12" s="2" t="inlineStr">
        <is>
          <t>2849674.06</t>
        </is>
      </c>
    </row>
    <row r="13">
      <c r="A13" s="2" t="inlineStr">
        <is>
          <t>I12</t>
        </is>
      </c>
      <c r="B13" s="2" t="inlineStr">
        <is>
          <t>ContratTravaux</t>
        </is>
      </c>
      <c r="C13" s="2" t="inlineStr">
        <is>
          <t>Contrat_Lot6_Mushi</t>
        </is>
      </c>
      <c r="D13" s="2" t="inlineStr">
        <is>
          <t>montant</t>
        </is>
      </c>
      <c r="E13" s="2" t="inlineStr">
        <is>
          <t>3788088.50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29" customWidth="1" min="6" max="6"/>
    <col width="24" customWidth="1" min="7" max="7"/>
  </cols>
  <sheetData>
    <row r="1" ht="22" customHeight="1">
      <c r="A1" s="1" t="inlineStr">
        <is>
          <t>Lot</t>
        </is>
      </c>
      <c r="B1" s="1" t="inlineStr">
        <is>
          <t>Territoire</t>
        </is>
      </c>
      <c r="C1" s="1" t="inlineStr">
        <is>
          <t>Province</t>
        </is>
      </c>
      <c r="D1" s="1" t="inlineStr">
        <is>
          <t>Nb_Ecoles</t>
        </is>
      </c>
      <c r="E1" s="1" t="inlineStr">
        <is>
          <t>Nb_Centres_Sante</t>
        </is>
      </c>
      <c r="F1" s="1" t="inlineStr">
        <is>
          <t>Nb_Batiments_Administratifs</t>
        </is>
      </c>
      <c r="G1" s="1" t="inlineStr">
        <is>
          <t>Montant_USD_TTC_Hors_TVA</t>
        </is>
      </c>
    </row>
    <row r="2">
      <c r="A2" s="2" t="inlineStr">
        <is>
          <t>Lot 8</t>
        </is>
      </c>
      <c r="B2" s="2" t="inlineStr">
        <is>
          <t>Yumbi</t>
        </is>
      </c>
      <c r="C2" s="2" t="inlineStr">
        <is>
          <t>Mai-Ndombe</t>
        </is>
      </c>
      <c r="D2" s="2" t="n">
        <v>11</v>
      </c>
      <c r="E2" s="2" t="n">
        <v>4</v>
      </c>
      <c r="F2" s="2" t="n">
        <v>1</v>
      </c>
      <c r="G2" s="3" t="n">
        <v>3048654.06</v>
      </c>
    </row>
    <row r="3">
      <c r="A3" s="2" t="inlineStr">
        <is>
          <t>Lot 2</t>
        </is>
      </c>
      <c r="B3" s="2" t="inlineStr">
        <is>
          <t>Inongo</t>
        </is>
      </c>
      <c r="C3" s="2" t="inlineStr">
        <is>
          <t>Mai-Ndombe</t>
        </is>
      </c>
      <c r="D3" s="2" t="n">
        <v>8</v>
      </c>
      <c r="E3" s="2" t="n">
        <v>6</v>
      </c>
      <c r="F3" s="2" t="n">
        <v>1</v>
      </c>
      <c r="G3" s="3" t="n">
        <v>2849674.06</v>
      </c>
    </row>
    <row r="4">
      <c r="A4" s="2" t="inlineStr">
        <is>
          <t>Lot 6</t>
        </is>
      </c>
      <c r="B4" s="2" t="inlineStr">
        <is>
          <t>Mushi</t>
        </is>
      </c>
      <c r="C4" s="2" t="inlineStr">
        <is>
          <t>Mai-Ndombe</t>
        </is>
      </c>
      <c r="D4" s="2" t="n">
        <v>10</v>
      </c>
      <c r="E4" s="2" t="n">
        <v>9</v>
      </c>
      <c r="F4" s="2" t="n">
        <v>1</v>
      </c>
      <c r="G4" s="3" t="n">
        <v>3788088.5</v>
      </c>
    </row>
    <row r="5">
      <c r="A5" s="4" t="inlineStr">
        <is>
          <t>TOTAL</t>
        </is>
      </c>
      <c r="B5" s="4" t="inlineStr"/>
      <c r="C5" s="4" t="inlineStr"/>
      <c r="D5" s="4">
        <f>SUM(D2:D4)</f>
        <v/>
      </c>
      <c r="E5" s="4">
        <f>SUM(E2:E4)</f>
        <v/>
      </c>
      <c r="F5" s="4">
        <f>SUM(F2:F4)</f>
        <v/>
      </c>
      <c r="G5" s="5">
        <f>SUM(G2:G4)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</cols>
  <sheetData>
    <row r="1" ht="22" customHeight="1">
      <c r="A1" s="1" t="inlineStr">
        <is>
          <t>Regle</t>
        </is>
      </c>
      <c r="B1" s="1" t="inlineStr">
        <is>
          <t>Valeur</t>
        </is>
      </c>
      <c r="C1" s="1" t="inlineStr">
        <is>
          <t>Portee</t>
        </is>
      </c>
    </row>
    <row r="2">
      <c r="A2" s="2" t="inlineStr">
        <is>
          <t>Garantie de bonne exécution</t>
        </is>
      </c>
      <c r="B2" s="2" t="inlineStr">
        <is>
          <t>5%</t>
        </is>
      </c>
      <c r="C2" s="2" t="inlineStr">
        <is>
          <t>Contrat</t>
        </is>
      </c>
    </row>
    <row r="3">
      <c r="A3" s="2" t="inlineStr">
        <is>
          <t>Retenue de garantie</t>
        </is>
      </c>
      <c r="B3" s="2" t="inlineStr">
        <is>
          <t>5%</t>
        </is>
      </c>
      <c r="C3" s="2" t="inlineStr">
        <is>
          <t>Contrat</t>
        </is>
      </c>
    </row>
    <row r="4">
      <c r="A4" s="2" t="inlineStr">
        <is>
          <t>Avance forfaitaire de démarrage</t>
        </is>
      </c>
      <c r="B4" s="2" t="inlineStr">
        <is>
          <t>30%</t>
        </is>
      </c>
      <c r="C4" s="2" t="inlineStr">
        <is>
          <t>Contrat</t>
        </is>
      </c>
    </row>
    <row r="5">
      <c r="A5" s="2" t="inlineStr">
        <is>
          <t>Acomptes approvisionnement max</t>
        </is>
      </c>
      <c r="B5" s="2" t="inlineStr">
        <is>
          <t>10%</t>
        </is>
      </c>
      <c r="C5" s="2" t="inlineStr">
        <is>
          <t>Contrat</t>
        </is>
      </c>
    </row>
    <row r="6">
      <c r="A6" s="2" t="inlineStr">
        <is>
          <t>Redevance ARMP</t>
        </is>
      </c>
      <c r="B6" s="2" t="inlineStr">
        <is>
          <t>0,7%</t>
        </is>
      </c>
      <c r="C6" s="2" t="inlineStr">
        <is>
          <t>Contrat</t>
        </is>
      </c>
    </row>
    <row r="7">
      <c r="A7" s="2" t="inlineStr">
        <is>
          <t>Pénalité journalière</t>
        </is>
      </c>
      <c r="B7" s="2" t="inlineStr">
        <is>
          <t>1/1000 du montant du marché</t>
        </is>
      </c>
      <c r="C7" s="2" t="inlineStr">
        <is>
          <t>Contrat</t>
        </is>
      </c>
    </row>
    <row r="8">
      <c r="A8" s="2" t="inlineStr">
        <is>
          <t>Plafond des pénalités</t>
        </is>
      </c>
      <c r="B8" s="2" t="inlineStr">
        <is>
          <t>10%</t>
        </is>
      </c>
      <c r="C8" s="2" t="inlineStr">
        <is>
          <t>Contrat</t>
        </is>
      </c>
    </row>
    <row r="9">
      <c r="A9" s="2" t="inlineStr">
        <is>
          <t>Délai d’exécution</t>
        </is>
      </c>
      <c r="B9" s="2" t="inlineStr">
        <is>
          <t>5,5 mois</t>
        </is>
      </c>
      <c r="C9" s="2" t="inlineStr">
        <is>
          <t>Contrat</t>
        </is>
      </c>
    </row>
    <row r="10">
      <c r="A10" s="2" t="inlineStr">
        <is>
          <t>Mobilisation</t>
        </is>
      </c>
      <c r="B10" s="2" t="inlineStr">
        <is>
          <t>15 jours</t>
        </is>
      </c>
      <c r="C10" s="2" t="inlineStr">
        <is>
          <t>Contrat</t>
        </is>
      </c>
    </row>
    <row r="11">
      <c r="A11" s="2" t="inlineStr">
        <is>
          <t>Délai de démarrage après ordre</t>
        </is>
      </c>
      <c r="B11" s="2" t="inlineStr">
        <is>
          <t>10 jours max</t>
        </is>
      </c>
      <c r="C11" s="2" t="inlineStr">
        <is>
          <t>Contrat</t>
        </is>
      </c>
    </row>
    <row r="12">
      <c r="A12" s="2" t="inlineStr">
        <is>
          <t>PGES chantier</t>
        </is>
      </c>
      <c r="B12" s="2" t="inlineStr">
        <is>
          <t>30 jours max</t>
        </is>
      </c>
      <c r="C12" s="2" t="inlineStr">
        <is>
          <t>HSE</t>
        </is>
      </c>
    </row>
    <row r="13">
      <c r="A13" s="2" t="inlineStr">
        <is>
          <t>Force majeure intempéries</t>
        </is>
      </c>
      <c r="B13" s="2" t="inlineStr">
        <is>
          <t>10 jours de pluies ininterrompues</t>
        </is>
      </c>
      <c r="C13" s="2" t="inlineStr">
        <is>
          <t>Contrat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54" customWidth="1" min="3" max="3"/>
  </cols>
  <sheetData>
    <row r="1" ht="22" customHeight="1">
      <c r="A1" s="1" t="inlineStr">
        <is>
          <t>Fichier</t>
        </is>
      </c>
      <c r="B1" s="1" t="inlineStr">
        <is>
          <t>Référence</t>
        </is>
      </c>
      <c r="C1" s="1" t="inlineStr">
        <is>
          <t>Notes</t>
        </is>
      </c>
    </row>
    <row r="2">
      <c r="A2" s="2" t="inlineStr">
        <is>
          <t>CONTRAT N° LOT 8 CFEF PDL-145T TVX T28 PM 2022-055.pdf</t>
        </is>
      </c>
      <c r="B2" s="2" t="inlineStr">
        <is>
          <t>turn1file0</t>
        </is>
      </c>
      <c r="C2" s="2" t="inlineStr">
        <is>
          <t>11 écoles, 4 centres de santé, 1 bâtiment administratif ; 3 048 654,06 USD</t>
        </is>
      </c>
    </row>
    <row r="3">
      <c r="A3" s="2" t="inlineStr">
        <is>
          <t>CONTRAT N° LOT 2 CFEF PDL-145T TVX T22 PM 2022-049.pdf</t>
        </is>
      </c>
      <c r="B3" s="2" t="inlineStr">
        <is>
          <t>turn1file1</t>
        </is>
      </c>
      <c r="C3" s="2" t="inlineStr">
        <is>
          <t>8 écoles, 6 centres de santé, 1 bâtiment administratif ; 2 849 674,06 USD</t>
        </is>
      </c>
    </row>
    <row r="4">
      <c r="A4" s="2" t="inlineStr">
        <is>
          <t>CONTRAT N° LOT 6 CFEF PDL-145T TVX T24 PM 2022-053.pdf</t>
        </is>
      </c>
      <c r="B4" s="2" t="inlineStr">
        <is>
          <t>turn1file2</t>
        </is>
      </c>
      <c r="C4" s="2" t="inlineStr">
        <is>
          <t>10 écoles, 9 centres de santé, 1 bâtiment administratif ; 3 788 088,50 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12" customWidth="1" min="4" max="4"/>
  </cols>
  <sheetData>
    <row r="1" ht="22" customHeight="1">
      <c r="A1" s="6" t="inlineStr">
        <is>
          <t>Synthèse PDL-145T</t>
        </is>
      </c>
    </row>
    <row r="2">
      <c r="A2" s="7" t="inlineStr">
        <is>
          <t>Indicateur</t>
        </is>
      </c>
      <c r="B2" s="7" t="inlineStr">
        <is>
          <t>Valeur</t>
        </is>
      </c>
      <c r="C2" s="7" t="inlineStr"/>
      <c r="D2" s="7" t="inlineStr"/>
    </row>
    <row r="3">
      <c r="A3" s="8" t="inlineStr">
        <is>
          <t>Nombre de lots étudiés</t>
        </is>
      </c>
      <c r="B3" s="9">
        <f>COUNTA(Lots_Ouvrages!A2:A4)</f>
        <v/>
      </c>
      <c r="C3" s="2" t="inlineStr"/>
      <c r="D3" s="2" t="inlineStr"/>
    </row>
    <row r="4">
      <c r="A4" s="8" t="inlineStr">
        <is>
          <t>Nombre total d'écoles</t>
        </is>
      </c>
      <c r="B4" s="9">
        <f>Lots_Ouvrages!D5</f>
        <v/>
      </c>
      <c r="C4" s="2" t="inlineStr"/>
      <c r="D4" s="2" t="inlineStr"/>
    </row>
    <row r="5">
      <c r="A5" s="8" t="inlineStr">
        <is>
          <t>Nombre total de centres de santé</t>
        </is>
      </c>
      <c r="B5" s="9">
        <f>Lots_Ouvrages!E5</f>
        <v/>
      </c>
      <c r="C5" s="2" t="inlineStr"/>
      <c r="D5" s="2" t="inlineStr"/>
    </row>
    <row r="6">
      <c r="A6" s="8" t="inlineStr">
        <is>
          <t>Nombre total de bâtiments administratifs</t>
        </is>
      </c>
      <c r="B6" s="9">
        <f>Lots_Ouvrages!F5</f>
        <v/>
      </c>
      <c r="C6" s="2" t="inlineStr"/>
      <c r="D6" s="2" t="inlineStr"/>
    </row>
    <row r="7">
      <c r="A7" s="8" t="inlineStr">
        <is>
          <t>Montant total USD TTC Hors TVA</t>
        </is>
      </c>
      <c r="B7" s="10">
        <f>Lots_Ouvrages!G5</f>
        <v/>
      </c>
      <c r="C7" s="2" t="inlineStr"/>
      <c r="D7" s="2" t="inlineStr"/>
    </row>
    <row r="8">
      <c r="A8" s="8" t="inlineStr">
        <is>
          <t>Province couverte</t>
        </is>
      </c>
      <c r="B8" s="9" t="inlineStr">
        <is>
          <t>Mai-Ndombe</t>
        </is>
      </c>
      <c r="C8" s="2" t="inlineStr"/>
      <c r="D8" s="2" t="inlineStr"/>
    </row>
    <row r="9">
      <c r="A9" s="8" t="inlineStr">
        <is>
          <t>Autorité contractante</t>
        </is>
      </c>
      <c r="B9" s="9" t="inlineStr">
        <is>
          <t>CFEF</t>
        </is>
      </c>
      <c r="C9" s="2" t="inlineStr"/>
      <c r="D9" s="2" t="inlineStr"/>
    </row>
    <row r="10">
      <c r="A10" s="2" t="inlineStr">
        <is>
          <t>Titulaire</t>
        </is>
      </c>
      <c r="B10" s="2" t="inlineStr">
        <is>
          <t>Groupement ASCAT SARL - SPPE SARL</t>
        </is>
      </c>
      <c r="C10" s="2" t="inlineStr"/>
      <c r="D10" s="2" t="inlineStr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2026-04-20T20:56:58Z</dcterms:created>
  <dcterms:modified xmlns:dcterms="http://purl.org/dc/terms/" xmlns:xsi="http://www.w3.org/2001/XMLSchema-instance" xsi:type="dcterms:W3CDTF">2026-04-20T20:56:58Z</dcterms:modified>
</cp:coreProperties>
</file>